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Y\Downloads\"/>
    </mc:Choice>
  </mc:AlternateContent>
  <xr:revisionPtr revIDLastSave="0" documentId="13_ncr:1_{AE0C1B7E-0D79-4E0D-898E-77E21BCDE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2" r:id="rId1"/>
    <sheet name="Raw Customer Data" sheetId="1" r:id="rId2"/>
  </sheets>
  <definedNames>
    <definedName name="_xlnm._FilterDatabase" localSheetId="0" hidden="1">Cleaned_Data!$A$1:$I$32</definedName>
    <definedName name="_xlnm._FilterDatabase" localSheetId="1" hidden="1">'Raw Customer Data'!$A$1:$I$32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L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<sst xmlns="http://schemas.openxmlformats.org/spreadsheetml/2006/main" count="565" uniqueCount="209">
  <si>
    <t>Customer ID</t>
  </si>
  <si>
    <t>Customer Name</t>
  </si>
  <si>
    <t>Email</t>
  </si>
  <si>
    <t>Phone</t>
  </si>
  <si>
    <t>City</t>
  </si>
  <si>
    <t>State</t>
  </si>
  <si>
    <t>Date of Birth</t>
  </si>
  <si>
    <t>Registration Date</t>
  </si>
  <si>
    <t>Customer Type</t>
  </si>
  <si>
    <t>C001</t>
  </si>
  <si>
    <t>Rahul Sharma</t>
  </si>
  <si>
    <t>rahul.sharma@gmail.com</t>
  </si>
  <si>
    <t>9876543210</t>
  </si>
  <si>
    <t>Hyderabad</t>
  </si>
  <si>
    <t>Telangana</t>
  </si>
  <si>
    <t>2001-05-12</t>
  </si>
  <si>
    <t>2025-01-10</t>
  </si>
  <si>
    <t>Regular</t>
  </si>
  <si>
    <t>C002</t>
  </si>
  <si>
    <t>Priya Reddy</t>
  </si>
  <si>
    <t>priya.reddy@gmail.com</t>
  </si>
  <si>
    <t>9876543211</t>
  </si>
  <si>
    <t>2000-08-18</t>
  </si>
  <si>
    <t>2025-01-15</t>
  </si>
  <si>
    <t>Premium</t>
  </si>
  <si>
    <t>C003</t>
  </si>
  <si>
    <t>Anil Kumar</t>
  </si>
  <si>
    <t>anilgmail.com</t>
  </si>
  <si>
    <t>98765</t>
  </si>
  <si>
    <t>Chennai</t>
  </si>
  <si>
    <t>Tamil Nadu</t>
  </si>
  <si>
    <t>1999-02-05</t>
  </si>
  <si>
    <t>2025-01-20</t>
  </si>
  <si>
    <t>C004</t>
  </si>
  <si>
    <t>Sneha Rao</t>
  </si>
  <si>
    <t>9876543213</t>
  </si>
  <si>
    <t>2001-10-22</t>
  </si>
  <si>
    <t>2025-01-25</t>
  </si>
  <si>
    <t>C005</t>
  </si>
  <si>
    <t>Suresh Reddy</t>
  </si>
  <si>
    <t>suresh.reddy@gmail.com</t>
  </si>
  <si>
    <t>9876543214</t>
  </si>
  <si>
    <t>2025-01-30</t>
  </si>
  <si>
    <t>C006</t>
  </si>
  <si>
    <t>Neha Sharma</t>
  </si>
  <si>
    <t>neha.sharma@gmail.com</t>
  </si>
  <si>
    <t>9876543215</t>
  </si>
  <si>
    <t>Bengaluru</t>
  </si>
  <si>
    <t>Karnataka</t>
  </si>
  <si>
    <t>2002-03-14</t>
  </si>
  <si>
    <t>2025-02-02</t>
  </si>
  <si>
    <t>C007</t>
  </si>
  <si>
    <t>Arjun Mehta</t>
  </si>
  <si>
    <t>arjun.mehta@gmail.com</t>
  </si>
  <si>
    <t>9876543216</t>
  </si>
  <si>
    <t>Mumbai</t>
  </si>
  <si>
    <t>Maharashtra</t>
  </si>
  <si>
    <t>1998-11-09</t>
  </si>
  <si>
    <t>2025-02-05</t>
  </si>
  <si>
    <t>C008</t>
  </si>
  <si>
    <t>Kavya Rao</t>
  </si>
  <si>
    <t>kavya.rao@gmail.com</t>
  </si>
  <si>
    <t>9876543217</t>
  </si>
  <si>
    <t>2001-07-21</t>
  </si>
  <si>
    <t>2025-02-10</t>
  </si>
  <si>
    <t>C009</t>
  </si>
  <si>
    <t>Vikram Singh</t>
  </si>
  <si>
    <t>vikram.singh@gmail.com</t>
  </si>
  <si>
    <t>9876543218</t>
  </si>
  <si>
    <t>Delhi</t>
  </si>
  <si>
    <t>1997-01-30</t>
  </si>
  <si>
    <t>2025-02-12</t>
  </si>
  <si>
    <t>C010</t>
  </si>
  <si>
    <t>Pooja Verma</t>
  </si>
  <si>
    <t>pooja.verma@gmail.com</t>
  </si>
  <si>
    <t>9876543219</t>
  </si>
  <si>
    <t>Pune</t>
  </si>
  <si>
    <t>2000-04-17</t>
  </si>
  <si>
    <t>2025-02-15</t>
  </si>
  <si>
    <t>C011</t>
  </si>
  <si>
    <t>Rohit Kumar</t>
  </si>
  <si>
    <t>rohit.kumar@gmail.com</t>
  </si>
  <si>
    <t>9876543220</t>
  </si>
  <si>
    <t>1999-09-03</t>
  </si>
  <si>
    <t>2025-02-18</t>
  </si>
  <si>
    <t>C012</t>
  </si>
  <si>
    <t>Aishwarya Reddy</t>
  </si>
  <si>
    <t>aishwarya.reddy@gmail</t>
  </si>
  <si>
    <t>2001-12-11</t>
  </si>
  <si>
    <t>2025-02-20</t>
  </si>
  <si>
    <t>C013</t>
  </si>
  <si>
    <t>Manoj Rao</t>
  </si>
  <si>
    <t>manoj.rao@gmail.com</t>
  </si>
  <si>
    <t>9876543222</t>
  </si>
  <si>
    <t>Hyderbad</t>
  </si>
  <si>
    <t>1998-06-25</t>
  </si>
  <si>
    <t>2025-02-22</t>
  </si>
  <si>
    <t>C014</t>
  </si>
  <si>
    <t>Swathi Nair</t>
  </si>
  <si>
    <t>swathi.nair@gmail.com</t>
  </si>
  <si>
    <t>9876543223</t>
  </si>
  <si>
    <t>Kochi</t>
  </si>
  <si>
    <t>Kerala</t>
  </si>
  <si>
    <t>2002-01-08</t>
  </si>
  <si>
    <t>2025-02-25</t>
  </si>
  <si>
    <t>C015</t>
  </si>
  <si>
    <t>Kiran Patel</t>
  </si>
  <si>
    <t>kiran.patel@gmail.com</t>
  </si>
  <si>
    <t>9876543224</t>
  </si>
  <si>
    <t>Ahmedabad</t>
  </si>
  <si>
    <t>Gujarat</t>
  </si>
  <si>
    <t>1997-05-19</t>
  </si>
  <si>
    <t>2025-02-27</t>
  </si>
  <si>
    <t>C016</t>
  </si>
  <si>
    <t>Divya Sharma</t>
  </si>
  <si>
    <t>divya.sharma@gmail.com</t>
  </si>
  <si>
    <t>9876543225</t>
  </si>
  <si>
    <t>2000-10-02</t>
  </si>
  <si>
    <t>2025-03-01</t>
  </si>
  <si>
    <t>C017</t>
  </si>
  <si>
    <t>Rakesh Kumar</t>
  </si>
  <si>
    <t>rakesh.kumar@gmail.com</t>
  </si>
  <si>
    <t>12345</t>
  </si>
  <si>
    <t>1996-03-16</t>
  </si>
  <si>
    <t>2025-03-04</t>
  </si>
  <si>
    <t>C018</t>
  </si>
  <si>
    <t>Sonia Reddy</t>
  </si>
  <si>
    <t>sonia.reddy@gmail.com</t>
  </si>
  <si>
    <t>9876543227</t>
  </si>
  <si>
    <t>2001-09-28</t>
  </si>
  <si>
    <t>2025-03-06</t>
  </si>
  <si>
    <t>C019</t>
  </si>
  <si>
    <t>Naveen Rao</t>
  </si>
  <si>
    <t>naveen.rao@gmail.com</t>
  </si>
  <si>
    <t>1999-12-05</t>
  </si>
  <si>
    <t>2025-03-08</t>
  </si>
  <si>
    <t>C020</t>
  </si>
  <si>
    <t>Meghana Rao</t>
  </si>
  <si>
    <t>meghana.rao@gmail.com</t>
  </si>
  <si>
    <t>9876543229</t>
  </si>
  <si>
    <t>2002-02-14</t>
  </si>
  <si>
    <t>2025-03-10</t>
  </si>
  <si>
    <t>C021</t>
  </si>
  <si>
    <t>Ravi Teja</t>
  </si>
  <si>
    <t>raviteja@gmail.com</t>
  </si>
  <si>
    <t>9876543230</t>
  </si>
  <si>
    <t>Vijayawada</t>
  </si>
  <si>
    <t>Andhra Pradesh</t>
  </si>
  <si>
    <t>1998-08-23</t>
  </si>
  <si>
    <t>2025-03-12</t>
  </si>
  <si>
    <t>C022</t>
  </si>
  <si>
    <t>Lakshmi Devi</t>
  </si>
  <si>
    <t>lakshmi.devi@gmail.com</t>
  </si>
  <si>
    <t>9876543231</t>
  </si>
  <si>
    <t>Warangal</t>
  </si>
  <si>
    <t>2000-06-30</t>
  </si>
  <si>
    <t>2025-03-15</t>
  </si>
  <si>
    <t>C023</t>
  </si>
  <si>
    <t>Aman Gupta</t>
  </si>
  <si>
    <t>aman.gupta@gmail.com</t>
  </si>
  <si>
    <t>9876543232</t>
  </si>
  <si>
    <t>Noida</t>
  </si>
  <si>
    <t>Uttar Pradesh</t>
  </si>
  <si>
    <t>1997-11-18</t>
  </si>
  <si>
    <t>2025-03-18</t>
  </si>
  <si>
    <t>C024</t>
  </si>
  <si>
    <t>sneha.rao@gmail.com</t>
  </si>
  <si>
    <t>2025-03-20</t>
  </si>
  <si>
    <t>C025</t>
  </si>
  <si>
    <t>Rahul Sharm</t>
  </si>
  <si>
    <t>2025-03-22</t>
  </si>
  <si>
    <t>C026</t>
  </si>
  <si>
    <t>Farhan Ali</t>
  </si>
  <si>
    <t>farhan.ali@gmail.com</t>
  </si>
  <si>
    <t>9876543235</t>
  </si>
  <si>
    <t>1999-07-07</t>
  </si>
  <si>
    <t>2025-03-25</t>
  </si>
  <si>
    <t>C027</t>
  </si>
  <si>
    <t>Isha Kapoor</t>
  </si>
  <si>
    <t>isha.kapoor@gmail.com</t>
  </si>
  <si>
    <t>9876543236</t>
  </si>
  <si>
    <t>Gurugram</t>
  </si>
  <si>
    <t>Haryana</t>
  </si>
  <si>
    <t>2002-04-26</t>
  </si>
  <si>
    <t>2025-03-28</t>
  </si>
  <si>
    <t>C028</t>
  </si>
  <si>
    <t>Varun Das</t>
  </si>
  <si>
    <t>varun.das@gmail.com</t>
  </si>
  <si>
    <t>9876543237</t>
  </si>
  <si>
    <t>Kolkata</t>
  </si>
  <si>
    <t>West Bengal</t>
  </si>
  <si>
    <t>2025-04-01</t>
  </si>
  <si>
    <t>C029</t>
  </si>
  <si>
    <t>Nisha Patel</t>
  </si>
  <si>
    <t>9876543238</t>
  </si>
  <si>
    <t>Surat</t>
  </si>
  <si>
    <t>2001-01-15</t>
  </si>
  <si>
    <t>2025-04-03</t>
  </si>
  <si>
    <t>C030</t>
  </si>
  <si>
    <t>Aditya Rao</t>
  </si>
  <si>
    <t>aditya.rao@gmail.com</t>
  </si>
  <si>
    <t>9876543239</t>
  </si>
  <si>
    <t>1998-10-10</t>
  </si>
  <si>
    <t>2025-04-05</t>
  </si>
  <si>
    <t>Duplicate ID Check</t>
  </si>
  <si>
    <t>Missing Fields Check</t>
  </si>
  <si>
    <t>Email Check</t>
  </si>
  <si>
    <t>Phone Check</t>
  </si>
  <si>
    <t>Location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</si>
</sst>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6C4F8-5941-4407-823F-47C88CFE05B2}">
  <dimension ref="A1:N32"/>
  <sheetViews>
    <sheetView tabSelected="1" workbookViewId="0">
      <pane ySplit="1" topLeftCell="A2" activePane="bottomLeft" state="frozen"/>
      <selection pane="bottomLeft" activeCell="P13" sqref="P13"/>
    </sheetView>
  </sheetViews>
  <sheetFormatPr defaultRowHeight="14.4" x14ac:dyDescent="0.3"/>
  <cols>
    <col min="1" max="1" width="14" customWidth="1"/>
    <col min="2" max="2" width="22" customWidth="1"/>
    <col min="3" max="3" width="32" customWidth="1"/>
    <col min="4" max="4" width="16" customWidth="1"/>
    <col min="5" max="5" width="18" customWidth="1"/>
    <col min="6" max="6" width="20" customWidth="1"/>
    <col min="7" max="7" width="18" customWidth="1"/>
    <col min="8" max="8" width="22" customWidth="1"/>
    <col min="9" max="10" width="18" customWidth="1"/>
    <col min="11" max="11" width="18.88671875" customWidth="1"/>
    <col min="12" max="12" width="12" customWidth="1"/>
    <col min="13" max="13" width="13" customWidth="1"/>
    <col min="14" max="14" width="15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204</v>
      </c>
      <c r="K1" s="2" t="s">
        <v>205</v>
      </c>
      <c r="L1" s="2" t="s">
        <v>206</v>
      </c>
      <c r="M1" s="2" t="s">
        <v>207</v>
      </c>
      <c r="N1" s="3" t="s">
        <v>208</v>
      </c>
    </row>
    <row r="2" spans="1:14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tr">
        <f>IF(COUNTIF($A:$A,A2)&gt;1,"Duplicate ID","Unique")</f>
        <v>Unique</v>
      </c>
      <c r="K2" t="str">
        <f>IF(COUNTA(A2:I2)&lt;9,"Incomplete","Complete")</f>
        <v>Complete</v>
      </c>
      <c r="L2" t="str">
        <f>IF(C2="","Missing Email",IF(AND(ISNUMBER(SEARCH("@",C2)),ISNUMBER(SEARCH(".",C2))),"Valid","Invalid Email"))</f>
        <v>Valid</v>
      </c>
      <c r="M2" t="str">
        <f>IF(D2="","Missing Phone",IF(AND(ISNUMBER(D2),LEN(D2)=10),"Valid","Invalid Phone"))</f>
        <v>Invalid Phone</v>
      </c>
      <c r="N2" t="str">
        <f>IF(OR(E2="",F2=""),"Missing City/State","Valid")</f>
        <v>Valid</v>
      </c>
    </row>
    <row r="3" spans="1:14" x14ac:dyDescent="0.3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24</v>
      </c>
      <c r="J3" t="str">
        <f>IF(COUNTIF($A:$A,A2)&gt;1,"Duplicate ID","Unique")</f>
        <v>Unique</v>
      </c>
      <c r="K3" t="str">
        <f t="shared" ref="K3:K32" si="0">IF(COUNTA(A3:I3)&lt;9,"Incomplete","Complete")</f>
        <v>Complete</v>
      </c>
      <c r="L3" t="str">
        <f>IF(C2="","Missing Email",IF(AND(ISNUMBER(SEARCH("@",C2)),ISNUMBER(SEARCH(".",C2))),"Valid","Invalid Email"))</f>
        <v>Valid</v>
      </c>
      <c r="M3" t="str">
        <f>IF(D2="","Missing Phone",IF(AND(ISNUMBER(D2),LEN(D2)=10),"Valid","Invalid Phone"))</f>
        <v>Invalid Phone</v>
      </c>
      <c r="N3" t="str">
        <f t="shared" ref="N3:N32" si="1">IF(OR(E3="",F3=""),"Missing City/State","Valid")</f>
        <v>Valid</v>
      </c>
    </row>
    <row r="4" spans="1:14" x14ac:dyDescent="0.3">
      <c r="A4" t="s">
        <v>18</v>
      </c>
      <c r="B4" t="s">
        <v>19</v>
      </c>
      <c r="C4" t="s">
        <v>20</v>
      </c>
      <c r="D4" t="s">
        <v>21</v>
      </c>
      <c r="E4" t="s">
        <v>13</v>
      </c>
      <c r="F4" t="s">
        <v>14</v>
      </c>
      <c r="G4" t="s">
        <v>22</v>
      </c>
      <c r="H4" t="s">
        <v>23</v>
      </c>
      <c r="I4" t="s">
        <v>24</v>
      </c>
      <c r="J4" t="str">
        <f>IF(COUNTIF($A:$A,A2)&gt;1,"Duplicate ID","Unique")</f>
        <v>Unique</v>
      </c>
      <c r="K4" t="str">
        <f t="shared" si="0"/>
        <v>Complete</v>
      </c>
      <c r="L4" t="str">
        <f t="shared" ref="L4:L32" si="2">IF(C3="","Missing Email",IF(AND(ISNUMBER(SEARCH("@",C3)),ISNUMBER(SEARCH(".",C3))),"Valid","Invalid Email"))</f>
        <v>Valid</v>
      </c>
      <c r="M4" t="str">
        <f>IF(D2="","Missing Phone",IF(AND(ISNUMBER(D2),LEN(D2)=10),"Valid","Invalid Phone"))</f>
        <v>Invalid Phone</v>
      </c>
      <c r="N4" t="str">
        <f t="shared" si="1"/>
        <v>Valid</v>
      </c>
    </row>
    <row r="5" spans="1:14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17</v>
      </c>
      <c r="J5" t="str">
        <f>IF(COUNTIF($A:$A,A2)&gt;1,"Duplicate ID","Unique")</f>
        <v>Unique</v>
      </c>
      <c r="K5" t="str">
        <f t="shared" si="0"/>
        <v>Complete</v>
      </c>
      <c r="L5" t="str">
        <f t="shared" si="2"/>
        <v>Valid</v>
      </c>
      <c r="M5" t="str">
        <f t="shared" ref="M5:M32" si="3">IF(D3="","Missing Phone",IF(AND(ISNUMBER(D3),LEN(D3)=10),"Valid","Invalid Phone"))</f>
        <v>Invalid Phone</v>
      </c>
      <c r="N5" t="str">
        <f t="shared" si="1"/>
        <v>Valid</v>
      </c>
    </row>
    <row r="6" spans="1:14" x14ac:dyDescent="0.3">
      <c r="A6" t="s">
        <v>33</v>
      </c>
      <c r="B6" t="s">
        <v>34</v>
      </c>
      <c r="D6" t="s">
        <v>35</v>
      </c>
      <c r="F6" t="s">
        <v>14</v>
      </c>
      <c r="G6" t="s">
        <v>36</v>
      </c>
      <c r="H6" t="s">
        <v>37</v>
      </c>
      <c r="I6" t="s">
        <v>17</v>
      </c>
      <c r="J6" t="str">
        <f>IF(COUNTIF($A:$A,A2)&gt;1,"Duplicate ID","Unique")</f>
        <v>Unique</v>
      </c>
      <c r="K6" t="str">
        <f t="shared" si="0"/>
        <v>Incomplete</v>
      </c>
      <c r="L6" t="str">
        <f t="shared" si="2"/>
        <v>Invalid Email</v>
      </c>
      <c r="M6" t="str">
        <f t="shared" si="3"/>
        <v>Invalid Phone</v>
      </c>
      <c r="N6" t="str">
        <f t="shared" si="1"/>
        <v>Missing City/State</v>
      </c>
    </row>
    <row r="7" spans="1:14" x14ac:dyDescent="0.3">
      <c r="A7" t="s">
        <v>38</v>
      </c>
      <c r="B7" t="s">
        <v>39</v>
      </c>
      <c r="C7" t="s">
        <v>40</v>
      </c>
      <c r="D7" t="s">
        <v>41</v>
      </c>
      <c r="E7" t="s">
        <v>13</v>
      </c>
      <c r="F7" t="s">
        <v>14</v>
      </c>
      <c r="H7" t="s">
        <v>42</v>
      </c>
      <c r="I7" t="s">
        <v>24</v>
      </c>
      <c r="J7" t="str">
        <f>IF(COUNTIF($A:$A,A2)&gt;1,"Duplicate ID","Unique")</f>
        <v>Unique</v>
      </c>
      <c r="K7" t="str">
        <f t="shared" si="0"/>
        <v>Incomplete</v>
      </c>
      <c r="L7" t="str">
        <f t="shared" si="2"/>
        <v>Missing Email</v>
      </c>
      <c r="M7" t="str">
        <f t="shared" si="3"/>
        <v>Invalid Phone</v>
      </c>
      <c r="N7" t="str">
        <f t="shared" si="1"/>
        <v>Valid</v>
      </c>
    </row>
    <row r="8" spans="1:14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17</v>
      </c>
      <c r="J8" t="str">
        <f>IF(COUNTIF($A:$A,A2)&gt;1,"Duplicate ID","Unique")</f>
        <v>Unique</v>
      </c>
      <c r="K8" t="str">
        <f t="shared" si="0"/>
        <v>Complete</v>
      </c>
      <c r="L8" t="str">
        <f t="shared" si="2"/>
        <v>Valid</v>
      </c>
      <c r="M8" t="str">
        <f t="shared" si="3"/>
        <v>Invalid Phone</v>
      </c>
      <c r="N8" t="str">
        <f t="shared" si="1"/>
        <v>Valid</v>
      </c>
    </row>
    <row r="9" spans="1:14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24</v>
      </c>
      <c r="J9" t="str">
        <f>IF(COUNTIF($A:$A,A2)&gt;1,"Duplicate ID","Unique")</f>
        <v>Unique</v>
      </c>
      <c r="K9" t="str">
        <f t="shared" si="0"/>
        <v>Complete</v>
      </c>
      <c r="L9" t="str">
        <f t="shared" si="2"/>
        <v>Valid</v>
      </c>
      <c r="M9" t="str">
        <f t="shared" si="3"/>
        <v>Invalid Phone</v>
      </c>
      <c r="N9" t="str">
        <f t="shared" si="1"/>
        <v>Valid</v>
      </c>
    </row>
    <row r="10" spans="1:14" x14ac:dyDescent="0.3">
      <c r="A10" t="s">
        <v>59</v>
      </c>
      <c r="B10" t="s">
        <v>60</v>
      </c>
      <c r="C10" t="s">
        <v>61</v>
      </c>
      <c r="D10" t="s">
        <v>62</v>
      </c>
      <c r="E10" t="s">
        <v>13</v>
      </c>
      <c r="F10" t="s">
        <v>14</v>
      </c>
      <c r="G10" t="s">
        <v>63</v>
      </c>
      <c r="H10" t="s">
        <v>64</v>
      </c>
      <c r="I10" t="s">
        <v>17</v>
      </c>
      <c r="J10" t="str">
        <f t="shared" ref="J10:J32" si="4">IF(COUNTIF($A:$A,A3)&gt;1,"Duplicate ID","Unique")</f>
        <v>Duplicate ID</v>
      </c>
      <c r="K10" t="str">
        <f t="shared" si="0"/>
        <v>Complete</v>
      </c>
      <c r="L10" t="str">
        <f t="shared" si="2"/>
        <v>Valid</v>
      </c>
      <c r="M10" t="str">
        <f t="shared" si="3"/>
        <v>Invalid Phone</v>
      </c>
      <c r="N10" t="str">
        <f t="shared" si="1"/>
        <v>Valid</v>
      </c>
    </row>
    <row r="11" spans="1:14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69</v>
      </c>
      <c r="G11" t="s">
        <v>70</v>
      </c>
      <c r="H11" t="s">
        <v>71</v>
      </c>
      <c r="I11" t="s">
        <v>24</v>
      </c>
      <c r="J11" t="str">
        <f t="shared" si="4"/>
        <v>Duplicate ID</v>
      </c>
      <c r="K11" t="str">
        <f t="shared" si="0"/>
        <v>Complete</v>
      </c>
      <c r="L11" t="str">
        <f t="shared" si="2"/>
        <v>Valid</v>
      </c>
      <c r="M11" t="str">
        <f t="shared" si="3"/>
        <v>Invalid Phone</v>
      </c>
      <c r="N11" t="str">
        <f t="shared" si="1"/>
        <v>Valid</v>
      </c>
    </row>
    <row r="12" spans="1:14" x14ac:dyDescent="0.3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56</v>
      </c>
      <c r="G12" t="s">
        <v>77</v>
      </c>
      <c r="H12" t="s">
        <v>78</v>
      </c>
      <c r="I12" t="s">
        <v>17</v>
      </c>
      <c r="J12" t="str">
        <f t="shared" si="4"/>
        <v>Unique</v>
      </c>
      <c r="K12" t="str">
        <f t="shared" si="0"/>
        <v>Complete</v>
      </c>
      <c r="L12" t="str">
        <f t="shared" si="2"/>
        <v>Valid</v>
      </c>
      <c r="M12" t="str">
        <f t="shared" si="3"/>
        <v>Invalid Phone</v>
      </c>
      <c r="N12" t="str">
        <f t="shared" si="1"/>
        <v>Valid</v>
      </c>
    </row>
    <row r="13" spans="1:14" x14ac:dyDescent="0.3">
      <c r="A13" t="s">
        <v>79</v>
      </c>
      <c r="B13" t="s">
        <v>80</v>
      </c>
      <c r="C13" t="s">
        <v>81</v>
      </c>
      <c r="D13" t="s">
        <v>82</v>
      </c>
      <c r="E13" t="s">
        <v>13</v>
      </c>
      <c r="F13" t="s">
        <v>14</v>
      </c>
      <c r="G13" t="s">
        <v>83</v>
      </c>
      <c r="H13" t="s">
        <v>84</v>
      </c>
      <c r="I13" t="s">
        <v>17</v>
      </c>
      <c r="J13" t="str">
        <f t="shared" si="4"/>
        <v>Unique</v>
      </c>
      <c r="K13" t="str">
        <f t="shared" si="0"/>
        <v>Complete</v>
      </c>
      <c r="L13" t="str">
        <f t="shared" si="2"/>
        <v>Valid</v>
      </c>
      <c r="M13" t="str">
        <f t="shared" si="3"/>
        <v>Invalid Phone</v>
      </c>
      <c r="N13" t="str">
        <f t="shared" si="1"/>
        <v>Valid</v>
      </c>
    </row>
    <row r="14" spans="1:14" x14ac:dyDescent="0.3">
      <c r="A14" t="s">
        <v>85</v>
      </c>
      <c r="B14" t="s">
        <v>86</v>
      </c>
      <c r="C14" t="s">
        <v>87</v>
      </c>
      <c r="D14" t="s">
        <v>13</v>
      </c>
      <c r="E14" t="s">
        <v>13</v>
      </c>
      <c r="F14" t="s">
        <v>14</v>
      </c>
      <c r="G14" t="s">
        <v>88</v>
      </c>
      <c r="H14" t="s">
        <v>89</v>
      </c>
      <c r="I14" t="s">
        <v>24</v>
      </c>
      <c r="J14" t="str">
        <f t="shared" si="4"/>
        <v>Unique</v>
      </c>
      <c r="K14" t="str">
        <f t="shared" si="0"/>
        <v>Complete</v>
      </c>
      <c r="L14" t="str">
        <f t="shared" si="2"/>
        <v>Valid</v>
      </c>
      <c r="M14" t="str">
        <f t="shared" si="3"/>
        <v>Invalid Phone</v>
      </c>
      <c r="N14" t="str">
        <f t="shared" si="1"/>
        <v>Valid</v>
      </c>
    </row>
    <row r="15" spans="1:14" x14ac:dyDescent="0.3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14</v>
      </c>
      <c r="G15" t="s">
        <v>95</v>
      </c>
      <c r="H15" t="s">
        <v>96</v>
      </c>
      <c r="I15" t="s">
        <v>17</v>
      </c>
      <c r="J15" t="str">
        <f t="shared" si="4"/>
        <v>Unique</v>
      </c>
      <c r="K15" t="str">
        <f t="shared" si="0"/>
        <v>Complete</v>
      </c>
      <c r="L15" t="str">
        <f t="shared" si="2"/>
        <v>Valid</v>
      </c>
      <c r="M15" t="str">
        <f t="shared" si="3"/>
        <v>Invalid Phone</v>
      </c>
      <c r="N15" t="str">
        <f t="shared" si="1"/>
        <v>Valid</v>
      </c>
    </row>
    <row r="16" spans="1:14" x14ac:dyDescent="0.3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  <c r="I16" t="s">
        <v>17</v>
      </c>
      <c r="J16" t="str">
        <f t="shared" si="4"/>
        <v>Unique</v>
      </c>
      <c r="K16" t="str">
        <f t="shared" si="0"/>
        <v>Complete</v>
      </c>
      <c r="L16" t="str">
        <f t="shared" si="2"/>
        <v>Valid</v>
      </c>
      <c r="M16" t="str">
        <f t="shared" si="3"/>
        <v>Invalid Phone</v>
      </c>
      <c r="N16" t="str">
        <f t="shared" si="1"/>
        <v>Valid</v>
      </c>
    </row>
    <row r="17" spans="1:14" x14ac:dyDescent="0.3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24</v>
      </c>
      <c r="J17" t="str">
        <f t="shared" si="4"/>
        <v>Unique</v>
      </c>
      <c r="K17" t="str">
        <f t="shared" si="0"/>
        <v>Complete</v>
      </c>
      <c r="L17" t="str">
        <f t="shared" si="2"/>
        <v>Valid</v>
      </c>
      <c r="M17" t="str">
        <f t="shared" si="3"/>
        <v>Invalid Phone</v>
      </c>
      <c r="N17" t="str">
        <f t="shared" si="1"/>
        <v>Valid</v>
      </c>
    </row>
    <row r="18" spans="1:14" x14ac:dyDescent="0.3">
      <c r="A18" t="s">
        <v>113</v>
      </c>
      <c r="B18" t="s">
        <v>114</v>
      </c>
      <c r="C18" t="s">
        <v>115</v>
      </c>
      <c r="D18" t="s">
        <v>116</v>
      </c>
      <c r="E18" t="s">
        <v>47</v>
      </c>
      <c r="F18" t="s">
        <v>48</v>
      </c>
      <c r="G18" t="s">
        <v>117</v>
      </c>
      <c r="H18" t="s">
        <v>118</v>
      </c>
      <c r="I18" t="s">
        <v>17</v>
      </c>
      <c r="J18" t="str">
        <f t="shared" si="4"/>
        <v>Unique</v>
      </c>
      <c r="K18" t="str">
        <f t="shared" si="0"/>
        <v>Complete</v>
      </c>
      <c r="L18" t="str">
        <f t="shared" si="2"/>
        <v>Valid</v>
      </c>
      <c r="M18" t="str">
        <f t="shared" si="3"/>
        <v>Invalid Phone</v>
      </c>
      <c r="N18" t="str">
        <f t="shared" si="1"/>
        <v>Valid</v>
      </c>
    </row>
    <row r="19" spans="1:14" x14ac:dyDescent="0.3">
      <c r="A19" t="s">
        <v>119</v>
      </c>
      <c r="B19" t="s">
        <v>120</v>
      </c>
      <c r="C19" t="s">
        <v>121</v>
      </c>
      <c r="D19" t="s">
        <v>122</v>
      </c>
      <c r="E19" t="s">
        <v>69</v>
      </c>
      <c r="F19" t="s">
        <v>69</v>
      </c>
      <c r="G19" t="s">
        <v>123</v>
      </c>
      <c r="H19" t="s">
        <v>124</v>
      </c>
      <c r="I19" t="s">
        <v>17</v>
      </c>
      <c r="J19" t="str">
        <f t="shared" si="4"/>
        <v>Unique</v>
      </c>
      <c r="K19" t="str">
        <f t="shared" si="0"/>
        <v>Complete</v>
      </c>
      <c r="L19" t="str">
        <f t="shared" si="2"/>
        <v>Valid</v>
      </c>
      <c r="M19" t="str">
        <f t="shared" si="3"/>
        <v>Invalid Phone</v>
      </c>
      <c r="N19" t="str">
        <f t="shared" si="1"/>
        <v>Valid</v>
      </c>
    </row>
    <row r="20" spans="1:14" x14ac:dyDescent="0.3">
      <c r="A20" t="s">
        <v>125</v>
      </c>
      <c r="B20" t="s">
        <v>126</v>
      </c>
      <c r="C20" t="s">
        <v>127</v>
      </c>
      <c r="D20" t="s">
        <v>128</v>
      </c>
      <c r="E20" t="s">
        <v>13</v>
      </c>
      <c r="G20" t="s">
        <v>129</v>
      </c>
      <c r="H20" t="s">
        <v>130</v>
      </c>
      <c r="I20" t="s">
        <v>24</v>
      </c>
      <c r="J20" t="str">
        <f t="shared" si="4"/>
        <v>Unique</v>
      </c>
      <c r="K20" t="str">
        <f t="shared" si="0"/>
        <v>Incomplete</v>
      </c>
      <c r="L20" t="str">
        <f t="shared" si="2"/>
        <v>Valid</v>
      </c>
      <c r="M20" t="str">
        <f t="shared" si="3"/>
        <v>Invalid Phone</v>
      </c>
      <c r="N20" t="str">
        <f t="shared" si="1"/>
        <v>Missing City/State</v>
      </c>
    </row>
    <row r="21" spans="1:14" x14ac:dyDescent="0.3">
      <c r="A21" t="s">
        <v>131</v>
      </c>
      <c r="B21" t="s">
        <v>132</v>
      </c>
      <c r="C21" t="s">
        <v>133</v>
      </c>
      <c r="E21" t="s">
        <v>13</v>
      </c>
      <c r="F21" t="s">
        <v>14</v>
      </c>
      <c r="G21" t="s">
        <v>134</v>
      </c>
      <c r="H21" t="s">
        <v>135</v>
      </c>
      <c r="I21" t="s">
        <v>17</v>
      </c>
      <c r="J21" t="str">
        <f t="shared" si="4"/>
        <v>Unique</v>
      </c>
      <c r="K21" t="str">
        <f t="shared" si="0"/>
        <v>Incomplete</v>
      </c>
      <c r="L21" t="str">
        <f t="shared" si="2"/>
        <v>Valid</v>
      </c>
      <c r="M21" t="str">
        <f t="shared" si="3"/>
        <v>Invalid Phone</v>
      </c>
      <c r="N21" t="str">
        <f t="shared" si="1"/>
        <v>Valid</v>
      </c>
    </row>
    <row r="22" spans="1:14" x14ac:dyDescent="0.3">
      <c r="A22" t="s">
        <v>136</v>
      </c>
      <c r="B22" t="s">
        <v>137</v>
      </c>
      <c r="C22" t="s">
        <v>138</v>
      </c>
      <c r="D22" t="s">
        <v>139</v>
      </c>
      <c r="E22" t="s">
        <v>13</v>
      </c>
      <c r="F22" t="s">
        <v>14</v>
      </c>
      <c r="G22" t="s">
        <v>140</v>
      </c>
      <c r="H22" t="s">
        <v>141</v>
      </c>
      <c r="I22" t="s">
        <v>24</v>
      </c>
      <c r="J22" t="str">
        <f t="shared" si="4"/>
        <v>Unique</v>
      </c>
      <c r="K22" t="str">
        <f t="shared" si="0"/>
        <v>Complete</v>
      </c>
      <c r="L22" t="str">
        <f t="shared" si="2"/>
        <v>Valid</v>
      </c>
      <c r="M22" t="str">
        <f t="shared" si="3"/>
        <v>Invalid Phone</v>
      </c>
      <c r="N22" t="str">
        <f t="shared" si="1"/>
        <v>Valid</v>
      </c>
    </row>
    <row r="23" spans="1:14" x14ac:dyDescent="0.3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  <c r="I23" t="s">
        <v>17</v>
      </c>
      <c r="J23" t="str">
        <f t="shared" si="4"/>
        <v>Unique</v>
      </c>
      <c r="K23" t="str">
        <f t="shared" si="0"/>
        <v>Complete</v>
      </c>
      <c r="L23" t="str">
        <f t="shared" si="2"/>
        <v>Valid</v>
      </c>
      <c r="M23" t="str">
        <f t="shared" si="3"/>
        <v>Missing Phone</v>
      </c>
      <c r="N23" t="str">
        <f t="shared" si="1"/>
        <v>Valid</v>
      </c>
    </row>
    <row r="24" spans="1:14" x14ac:dyDescent="0.3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14</v>
      </c>
      <c r="G24" t="s">
        <v>155</v>
      </c>
      <c r="H24" t="s">
        <v>156</v>
      </c>
      <c r="I24" t="s">
        <v>17</v>
      </c>
      <c r="J24" t="str">
        <f t="shared" si="4"/>
        <v>Unique</v>
      </c>
      <c r="K24" t="str">
        <f t="shared" si="0"/>
        <v>Complete</v>
      </c>
      <c r="L24" t="str">
        <f t="shared" si="2"/>
        <v>Valid</v>
      </c>
      <c r="M24" t="str">
        <f t="shared" si="3"/>
        <v>Invalid Phone</v>
      </c>
      <c r="N24" t="str">
        <f t="shared" si="1"/>
        <v>Valid</v>
      </c>
    </row>
    <row r="25" spans="1:14" x14ac:dyDescent="0.3">
      <c r="A25" t="s">
        <v>157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I25" t="s">
        <v>24</v>
      </c>
      <c r="J25" t="str">
        <f t="shared" si="4"/>
        <v>Unique</v>
      </c>
      <c r="K25" t="str">
        <f t="shared" si="0"/>
        <v>Complete</v>
      </c>
      <c r="L25" t="str">
        <f t="shared" si="2"/>
        <v>Valid</v>
      </c>
      <c r="M25" t="str">
        <f t="shared" si="3"/>
        <v>Invalid Phone</v>
      </c>
      <c r="N25" t="str">
        <f t="shared" si="1"/>
        <v>Valid</v>
      </c>
    </row>
    <row r="26" spans="1:14" x14ac:dyDescent="0.3">
      <c r="A26" t="s">
        <v>165</v>
      </c>
      <c r="B26" t="s">
        <v>34</v>
      </c>
      <c r="C26" t="s">
        <v>166</v>
      </c>
      <c r="D26" t="s">
        <v>35</v>
      </c>
      <c r="E26" t="s">
        <v>13</v>
      </c>
      <c r="F26" t="s">
        <v>14</v>
      </c>
      <c r="G26" t="s">
        <v>36</v>
      </c>
      <c r="H26" t="s">
        <v>167</v>
      </c>
      <c r="I26" t="s">
        <v>17</v>
      </c>
      <c r="J26" t="str">
        <f t="shared" si="4"/>
        <v>Unique</v>
      </c>
      <c r="K26" t="str">
        <f t="shared" si="0"/>
        <v>Complete</v>
      </c>
      <c r="L26" t="str">
        <f t="shared" si="2"/>
        <v>Valid</v>
      </c>
      <c r="M26" t="str">
        <f t="shared" si="3"/>
        <v>Invalid Phone</v>
      </c>
      <c r="N26" t="str">
        <f t="shared" si="1"/>
        <v>Valid</v>
      </c>
    </row>
    <row r="27" spans="1:14" x14ac:dyDescent="0.3">
      <c r="A27" t="s">
        <v>168</v>
      </c>
      <c r="B27" t="s">
        <v>169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170</v>
      </c>
      <c r="I27" t="s">
        <v>17</v>
      </c>
      <c r="J27" t="str">
        <f t="shared" si="4"/>
        <v>Unique</v>
      </c>
      <c r="K27" t="str">
        <f t="shared" si="0"/>
        <v>Complete</v>
      </c>
      <c r="L27" t="str">
        <f t="shared" si="2"/>
        <v>Valid</v>
      </c>
      <c r="M27" t="str">
        <f t="shared" si="3"/>
        <v>Invalid Phone</v>
      </c>
      <c r="N27" t="str">
        <f t="shared" si="1"/>
        <v>Valid</v>
      </c>
    </row>
    <row r="28" spans="1:14" x14ac:dyDescent="0.3">
      <c r="A28" t="s">
        <v>171</v>
      </c>
      <c r="B28" t="s">
        <v>172</v>
      </c>
      <c r="C28" t="s">
        <v>173</v>
      </c>
      <c r="D28" t="s">
        <v>174</v>
      </c>
      <c r="E28" t="s">
        <v>13</v>
      </c>
      <c r="F28" t="s">
        <v>14</v>
      </c>
      <c r="G28" t="s">
        <v>175</v>
      </c>
      <c r="H28" t="s">
        <v>176</v>
      </c>
      <c r="I28" t="s">
        <v>24</v>
      </c>
      <c r="J28" t="str">
        <f t="shared" si="4"/>
        <v>Unique</v>
      </c>
      <c r="K28" t="str">
        <f t="shared" si="0"/>
        <v>Complete</v>
      </c>
      <c r="L28" t="str">
        <f t="shared" si="2"/>
        <v>Valid</v>
      </c>
      <c r="M28" t="str">
        <f t="shared" si="3"/>
        <v>Invalid Phone</v>
      </c>
      <c r="N28" t="str">
        <f t="shared" si="1"/>
        <v>Valid</v>
      </c>
    </row>
    <row r="29" spans="1:14" x14ac:dyDescent="0.3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t="s">
        <v>183</v>
      </c>
      <c r="H29" t="s">
        <v>184</v>
      </c>
      <c r="I29" t="s">
        <v>17</v>
      </c>
      <c r="J29" t="str">
        <f t="shared" si="4"/>
        <v>Unique</v>
      </c>
      <c r="K29" t="str">
        <f t="shared" si="0"/>
        <v>Complete</v>
      </c>
      <c r="L29" t="str">
        <f t="shared" si="2"/>
        <v>Valid</v>
      </c>
      <c r="M29" t="str">
        <f t="shared" si="3"/>
        <v>Invalid Phone</v>
      </c>
      <c r="N29" t="str">
        <f t="shared" si="1"/>
        <v>Valid</v>
      </c>
    </row>
    <row r="30" spans="1:14" x14ac:dyDescent="0.3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F30" t="s">
        <v>190</v>
      </c>
      <c r="H30" t="s">
        <v>191</v>
      </c>
      <c r="I30" t="s">
        <v>17</v>
      </c>
      <c r="J30" t="str">
        <f t="shared" si="4"/>
        <v>Unique</v>
      </c>
      <c r="K30" t="str">
        <f t="shared" si="0"/>
        <v>Incomplete</v>
      </c>
      <c r="L30" t="str">
        <f t="shared" si="2"/>
        <v>Valid</v>
      </c>
      <c r="M30" t="str">
        <f t="shared" si="3"/>
        <v>Invalid Phone</v>
      </c>
      <c r="N30" t="str">
        <f t="shared" si="1"/>
        <v>Valid</v>
      </c>
    </row>
    <row r="31" spans="1:14" x14ac:dyDescent="0.3">
      <c r="A31" t="s">
        <v>192</v>
      </c>
      <c r="B31" t="s">
        <v>193</v>
      </c>
      <c r="D31" t="s">
        <v>194</v>
      </c>
      <c r="E31" t="s">
        <v>195</v>
      </c>
      <c r="F31" t="s">
        <v>110</v>
      </c>
      <c r="G31" t="s">
        <v>196</v>
      </c>
      <c r="H31" t="s">
        <v>197</v>
      </c>
      <c r="I31" t="s">
        <v>24</v>
      </c>
      <c r="J31" t="str">
        <f t="shared" si="4"/>
        <v>Unique</v>
      </c>
      <c r="K31" t="str">
        <f t="shared" si="0"/>
        <v>Incomplete</v>
      </c>
      <c r="L31" t="str">
        <f t="shared" si="2"/>
        <v>Valid</v>
      </c>
      <c r="M31" t="str">
        <f t="shared" si="3"/>
        <v>Invalid Phone</v>
      </c>
      <c r="N31" t="str">
        <f t="shared" si="1"/>
        <v>Valid</v>
      </c>
    </row>
    <row r="32" spans="1:14" x14ac:dyDescent="0.3">
      <c r="A32" t="s">
        <v>198</v>
      </c>
      <c r="B32" t="s">
        <v>199</v>
      </c>
      <c r="C32" t="s">
        <v>200</v>
      </c>
      <c r="D32" t="s">
        <v>201</v>
      </c>
      <c r="F32" t="s">
        <v>14</v>
      </c>
      <c r="G32" t="s">
        <v>202</v>
      </c>
      <c r="H32" t="s">
        <v>203</v>
      </c>
      <c r="I32" t="s">
        <v>17</v>
      </c>
      <c r="J32" t="str">
        <f t="shared" si="4"/>
        <v>Unique</v>
      </c>
      <c r="K32" t="str">
        <f t="shared" si="0"/>
        <v>Incomplete</v>
      </c>
      <c r="L32" t="str">
        <f t="shared" si="2"/>
        <v>Missing Email</v>
      </c>
      <c r="M32" t="str">
        <f t="shared" si="3"/>
        <v>Invalid Phone</v>
      </c>
      <c r="N32" t="str">
        <f t="shared" si="1"/>
        <v>Missing City/State</v>
      </c>
    </row>
  </sheetData>
  <autoFilter ref="A1:I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32" customWidth="1"/>
    <col min="4" max="4" width="16" customWidth="1"/>
    <col min="5" max="5" width="18" customWidth="1"/>
    <col min="6" max="6" width="20" customWidth="1"/>
    <col min="7" max="7" width="18" customWidth="1"/>
    <col min="8" max="8" width="22" customWidth="1"/>
    <col min="9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14</v>
      </c>
      <c r="G3" t="s">
        <v>22</v>
      </c>
      <c r="H3" t="s">
        <v>23</v>
      </c>
      <c r="I3" t="s">
        <v>24</v>
      </c>
    </row>
    <row r="4" spans="1:9" x14ac:dyDescent="0.3">
      <c r="A4" t="s">
        <v>18</v>
      </c>
      <c r="B4" t="s">
        <v>19</v>
      </c>
      <c r="C4" t="s">
        <v>20</v>
      </c>
      <c r="D4" t="s">
        <v>21</v>
      </c>
      <c r="E4" t="s">
        <v>13</v>
      </c>
      <c r="F4" t="s">
        <v>14</v>
      </c>
      <c r="G4" t="s">
        <v>22</v>
      </c>
      <c r="H4" t="s">
        <v>23</v>
      </c>
      <c r="I4" t="s">
        <v>24</v>
      </c>
    </row>
    <row r="5" spans="1:9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17</v>
      </c>
    </row>
    <row r="6" spans="1:9" x14ac:dyDescent="0.3">
      <c r="A6" t="s">
        <v>33</v>
      </c>
      <c r="B6" t="s">
        <v>34</v>
      </c>
      <c r="D6" t="s">
        <v>35</v>
      </c>
      <c r="F6" t="s">
        <v>14</v>
      </c>
      <c r="G6" t="s">
        <v>36</v>
      </c>
      <c r="H6" t="s">
        <v>37</v>
      </c>
      <c r="I6" t="s">
        <v>17</v>
      </c>
    </row>
    <row r="7" spans="1:9" x14ac:dyDescent="0.3">
      <c r="A7" t="s">
        <v>38</v>
      </c>
      <c r="B7" t="s">
        <v>39</v>
      </c>
      <c r="C7" t="s">
        <v>40</v>
      </c>
      <c r="D7" t="s">
        <v>41</v>
      </c>
      <c r="E7" t="s">
        <v>13</v>
      </c>
      <c r="F7" t="s">
        <v>14</v>
      </c>
      <c r="H7" t="s">
        <v>42</v>
      </c>
      <c r="I7" t="s">
        <v>24</v>
      </c>
    </row>
    <row r="8" spans="1:9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17</v>
      </c>
    </row>
    <row r="9" spans="1:9" x14ac:dyDescent="0.3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24</v>
      </c>
    </row>
    <row r="10" spans="1:9" x14ac:dyDescent="0.3">
      <c r="A10" t="s">
        <v>59</v>
      </c>
      <c r="B10" t="s">
        <v>60</v>
      </c>
      <c r="C10" t="s">
        <v>61</v>
      </c>
      <c r="D10" t="s">
        <v>62</v>
      </c>
      <c r="E10" t="s">
        <v>13</v>
      </c>
      <c r="F10" t="s">
        <v>14</v>
      </c>
      <c r="G10" t="s">
        <v>63</v>
      </c>
      <c r="H10" t="s">
        <v>64</v>
      </c>
      <c r="I10" t="s">
        <v>17</v>
      </c>
    </row>
    <row r="11" spans="1:9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69</v>
      </c>
      <c r="G11" t="s">
        <v>70</v>
      </c>
      <c r="H11" t="s">
        <v>71</v>
      </c>
      <c r="I11" t="s">
        <v>24</v>
      </c>
    </row>
    <row r="12" spans="1:9" x14ac:dyDescent="0.3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56</v>
      </c>
      <c r="G12" t="s">
        <v>77</v>
      </c>
      <c r="H12" t="s">
        <v>78</v>
      </c>
      <c r="I12" t="s">
        <v>17</v>
      </c>
    </row>
    <row r="13" spans="1:9" x14ac:dyDescent="0.3">
      <c r="A13" t="s">
        <v>79</v>
      </c>
      <c r="B13" t="s">
        <v>80</v>
      </c>
      <c r="C13" t="s">
        <v>81</v>
      </c>
      <c r="D13" t="s">
        <v>82</v>
      </c>
      <c r="E13" t="s">
        <v>13</v>
      </c>
      <c r="F13" t="s">
        <v>14</v>
      </c>
      <c r="G13" t="s">
        <v>83</v>
      </c>
      <c r="H13" t="s">
        <v>84</v>
      </c>
      <c r="I13" t="s">
        <v>17</v>
      </c>
    </row>
    <row r="14" spans="1:9" x14ac:dyDescent="0.3">
      <c r="A14" t="s">
        <v>85</v>
      </c>
      <c r="B14" t="s">
        <v>86</v>
      </c>
      <c r="C14" t="s">
        <v>87</v>
      </c>
      <c r="D14" t="s">
        <v>13</v>
      </c>
      <c r="E14" t="s">
        <v>13</v>
      </c>
      <c r="F14" t="s">
        <v>14</v>
      </c>
      <c r="G14" t="s">
        <v>88</v>
      </c>
      <c r="H14" t="s">
        <v>89</v>
      </c>
      <c r="I14" t="s">
        <v>24</v>
      </c>
    </row>
    <row r="15" spans="1:9" x14ac:dyDescent="0.3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14</v>
      </c>
      <c r="G15" t="s">
        <v>95</v>
      </c>
      <c r="H15" t="s">
        <v>96</v>
      </c>
      <c r="I15" t="s">
        <v>17</v>
      </c>
    </row>
    <row r="16" spans="1:9" x14ac:dyDescent="0.3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  <c r="I16" t="s">
        <v>17</v>
      </c>
    </row>
    <row r="17" spans="1:9" x14ac:dyDescent="0.3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24</v>
      </c>
    </row>
    <row r="18" spans="1:9" x14ac:dyDescent="0.3">
      <c r="A18" t="s">
        <v>113</v>
      </c>
      <c r="B18" t="s">
        <v>114</v>
      </c>
      <c r="C18" t="s">
        <v>115</v>
      </c>
      <c r="D18" t="s">
        <v>116</v>
      </c>
      <c r="E18" t="s">
        <v>47</v>
      </c>
      <c r="F18" t="s">
        <v>48</v>
      </c>
      <c r="G18" t="s">
        <v>117</v>
      </c>
      <c r="H18" t="s">
        <v>118</v>
      </c>
      <c r="I18" t="s">
        <v>17</v>
      </c>
    </row>
    <row r="19" spans="1:9" x14ac:dyDescent="0.3">
      <c r="A19" t="s">
        <v>119</v>
      </c>
      <c r="B19" t="s">
        <v>120</v>
      </c>
      <c r="C19" t="s">
        <v>121</v>
      </c>
      <c r="D19" t="s">
        <v>122</v>
      </c>
      <c r="E19" t="s">
        <v>69</v>
      </c>
      <c r="F19" t="s">
        <v>69</v>
      </c>
      <c r="G19" t="s">
        <v>123</v>
      </c>
      <c r="H19" t="s">
        <v>124</v>
      </c>
      <c r="I19" t="s">
        <v>17</v>
      </c>
    </row>
    <row r="20" spans="1:9" x14ac:dyDescent="0.3">
      <c r="A20" t="s">
        <v>125</v>
      </c>
      <c r="B20" t="s">
        <v>126</v>
      </c>
      <c r="C20" t="s">
        <v>127</v>
      </c>
      <c r="D20" t="s">
        <v>128</v>
      </c>
      <c r="E20" t="s">
        <v>13</v>
      </c>
      <c r="G20" t="s">
        <v>129</v>
      </c>
      <c r="H20" t="s">
        <v>130</v>
      </c>
      <c r="I20" t="s">
        <v>24</v>
      </c>
    </row>
    <row r="21" spans="1:9" x14ac:dyDescent="0.3">
      <c r="A21" t="s">
        <v>131</v>
      </c>
      <c r="B21" t="s">
        <v>132</v>
      </c>
      <c r="C21" t="s">
        <v>133</v>
      </c>
      <c r="E21" t="s">
        <v>13</v>
      </c>
      <c r="F21" t="s">
        <v>14</v>
      </c>
      <c r="G21" t="s">
        <v>134</v>
      </c>
      <c r="H21" t="s">
        <v>135</v>
      </c>
      <c r="I21" t="s">
        <v>17</v>
      </c>
    </row>
    <row r="22" spans="1:9" x14ac:dyDescent="0.3">
      <c r="A22" t="s">
        <v>136</v>
      </c>
      <c r="B22" t="s">
        <v>137</v>
      </c>
      <c r="C22" t="s">
        <v>138</v>
      </c>
      <c r="D22" t="s">
        <v>139</v>
      </c>
      <c r="E22" t="s">
        <v>13</v>
      </c>
      <c r="F22" t="s">
        <v>14</v>
      </c>
      <c r="G22" t="s">
        <v>140</v>
      </c>
      <c r="H22" t="s">
        <v>141</v>
      </c>
      <c r="I22" t="s">
        <v>24</v>
      </c>
    </row>
    <row r="23" spans="1:9" x14ac:dyDescent="0.3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  <c r="I23" t="s">
        <v>17</v>
      </c>
    </row>
    <row r="24" spans="1:9" x14ac:dyDescent="0.3">
      <c r="A24" t="s">
        <v>150</v>
      </c>
      <c r="B24" t="s">
        <v>151</v>
      </c>
      <c r="C24" t="s">
        <v>152</v>
      </c>
      <c r="D24" t="s">
        <v>153</v>
      </c>
      <c r="E24" t="s">
        <v>154</v>
      </c>
      <c r="F24" t="s">
        <v>14</v>
      </c>
      <c r="G24" t="s">
        <v>155</v>
      </c>
      <c r="H24" t="s">
        <v>156</v>
      </c>
      <c r="I24" t="s">
        <v>17</v>
      </c>
    </row>
    <row r="25" spans="1:9" x14ac:dyDescent="0.3">
      <c r="A25" t="s">
        <v>157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I25" t="s">
        <v>24</v>
      </c>
    </row>
    <row r="26" spans="1:9" x14ac:dyDescent="0.3">
      <c r="A26" t="s">
        <v>165</v>
      </c>
      <c r="B26" t="s">
        <v>34</v>
      </c>
      <c r="C26" t="s">
        <v>166</v>
      </c>
      <c r="D26" t="s">
        <v>35</v>
      </c>
      <c r="E26" t="s">
        <v>13</v>
      </c>
      <c r="F26" t="s">
        <v>14</v>
      </c>
      <c r="G26" t="s">
        <v>36</v>
      </c>
      <c r="H26" t="s">
        <v>167</v>
      </c>
      <c r="I26" t="s">
        <v>17</v>
      </c>
    </row>
    <row r="27" spans="1:9" x14ac:dyDescent="0.3">
      <c r="A27" t="s">
        <v>168</v>
      </c>
      <c r="B27" t="s">
        <v>169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170</v>
      </c>
      <c r="I27" t="s">
        <v>17</v>
      </c>
    </row>
    <row r="28" spans="1:9" x14ac:dyDescent="0.3">
      <c r="A28" t="s">
        <v>171</v>
      </c>
      <c r="B28" t="s">
        <v>172</v>
      </c>
      <c r="C28" t="s">
        <v>173</v>
      </c>
      <c r="D28" t="s">
        <v>174</v>
      </c>
      <c r="E28" t="s">
        <v>13</v>
      </c>
      <c r="F28" t="s">
        <v>14</v>
      </c>
      <c r="G28" t="s">
        <v>175</v>
      </c>
      <c r="H28" t="s">
        <v>176</v>
      </c>
      <c r="I28" t="s">
        <v>24</v>
      </c>
    </row>
    <row r="29" spans="1:9" x14ac:dyDescent="0.3">
      <c r="A29" t="s">
        <v>177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t="s">
        <v>183</v>
      </c>
      <c r="H29" t="s">
        <v>184</v>
      </c>
      <c r="I29" t="s">
        <v>17</v>
      </c>
    </row>
    <row r="30" spans="1:9" x14ac:dyDescent="0.3">
      <c r="A30" t="s">
        <v>185</v>
      </c>
      <c r="B30" t="s">
        <v>186</v>
      </c>
      <c r="C30" t="s">
        <v>187</v>
      </c>
      <c r="D30" t="s">
        <v>188</v>
      </c>
      <c r="E30" t="s">
        <v>189</v>
      </c>
      <c r="F30" t="s">
        <v>190</v>
      </c>
      <c r="H30" t="s">
        <v>191</v>
      </c>
      <c r="I30" t="s">
        <v>17</v>
      </c>
    </row>
    <row r="31" spans="1:9" x14ac:dyDescent="0.3">
      <c r="A31" t="s">
        <v>192</v>
      </c>
      <c r="B31" t="s">
        <v>193</v>
      </c>
      <c r="D31" t="s">
        <v>194</v>
      </c>
      <c r="E31" t="s">
        <v>195</v>
      </c>
      <c r="F31" t="s">
        <v>110</v>
      </c>
      <c r="G31" t="s">
        <v>196</v>
      </c>
      <c r="H31" t="s">
        <v>197</v>
      </c>
      <c r="I31" t="s">
        <v>24</v>
      </c>
    </row>
    <row r="32" spans="1:9" x14ac:dyDescent="0.3">
      <c r="A32" t="s">
        <v>198</v>
      </c>
      <c r="B32" t="s">
        <v>199</v>
      </c>
      <c r="C32" t="s">
        <v>200</v>
      </c>
      <c r="D32" t="s">
        <v>201</v>
      </c>
      <c r="F32" t="s">
        <v>14</v>
      </c>
      <c r="G32" t="s">
        <v>202</v>
      </c>
      <c r="H32" t="s">
        <v>203</v>
      </c>
      <c r="I32" t="s">
        <v>17</v>
      </c>
    </row>
  </sheetData>
  <autoFilter ref="A1:I3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Raw 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GUDALA</cp:lastModifiedBy>
  <dcterms:created xsi:type="dcterms:W3CDTF">2026-09-27T10:41:00Z</dcterms:created>
  <dcterms:modified xsi:type="dcterms:W3CDTF">2026-09-27T11:10:08Z</dcterms:modified>
</cp:coreProperties>
</file>